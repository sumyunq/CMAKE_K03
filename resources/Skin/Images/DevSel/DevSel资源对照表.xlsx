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说明" sheetId="1" state="visible" r:id="rId1"/>
    <sheet name="机型颜色对照" sheetId="2" state="visible" r:id="rId2"/>
    <sheet name="汇总统计" sheetId="3" state="visible" r:id="rId3"/>
  </sheets>
  <definedNames>
    <definedName name="_xlnm._FilterDatabase" localSheetId="1" hidden="1">'机型颜色对照'!$A$1:$I$29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sz val="16"/>
    </font>
    <font>
      <name val="Microsoft YaHei"/>
      <color rgb="00808080"/>
      <sz val="10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sz val="10"/>
    </font>
    <font>
      <name val="Microsoft YaHei"/>
      <sz val="10"/>
    </font>
    <font>
      <name val="Microsoft YaHei"/>
      <color rgb="002E7D32"/>
      <sz val="10"/>
    </font>
    <font>
      <name val="Microsoft YaHei"/>
      <color rgb="00BFBFBF"/>
      <sz val="10"/>
    </font>
  </fonts>
  <fills count="1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/>
    </fill>
    <fill>
      <patternFill patternType="solid">
        <fgColor rgb="00FFFFFF"/>
      </patternFill>
    </fill>
    <fill>
      <patternFill patternType="solid">
        <fgColor rgb="00F9CAD6"/>
      </patternFill>
    </fill>
    <fill>
      <patternFill patternType="solid">
        <fgColor rgb="006BA6C6"/>
      </patternFill>
    </fill>
    <fill>
      <patternFill patternType="solid">
        <fgColor rgb="00BBBEBF"/>
      </patternFill>
    </fill>
    <fill>
      <patternFill patternType="solid">
        <fgColor rgb="00C7C0B8"/>
      </patternFill>
    </fill>
    <fill>
      <patternFill patternType="solid">
        <fgColor rgb="00D7C3CF"/>
      </patternFill>
    </fill>
    <fill>
      <patternFill patternType="solid">
        <fgColor rgb="00FFC652"/>
      </patternFill>
    </fill>
    <fill>
      <patternFill patternType="solid">
        <fgColor rgb="0050756A"/>
      </patternFill>
    </fill>
    <fill>
      <patternFill patternType="solid">
        <fgColor rgb="004BC3D7"/>
      </patternFill>
    </fill>
    <fill>
      <patternFill patternType="solid">
        <fgColor rgb="00BD353F"/>
      </patternFill>
    </fill>
    <fill>
      <patternFill patternType="solid">
        <fgColor rgb="00FFE251"/>
      </patternFill>
    </fill>
    <fill>
      <patternFill patternType="solid">
        <fgColor rgb="00919393"/>
      </patternFill>
    </fill>
    <fill>
      <patternFill patternType="solid">
        <fgColor rgb="00B7B7B7"/>
      </patternFill>
    </fill>
    <fill>
      <patternFill patternType="solid">
        <fgColor rgb="00FCDE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0" customWidth="1" min="3" max="3"/>
  </cols>
  <sheetData>
    <row r="1">
      <c r="A1" s="1" t="inlineStr">
        <is>
          <t>DevSel 图片资源目录说明</t>
        </is>
      </c>
    </row>
    <row r="2">
      <c r="A2" s="2" t="inlineStr">
        <is>
          <t>路径: D:\QT5WorkSpace\2026_0714_new\Project_K03\Resources\Skin\Images\DevSel</t>
        </is>
      </c>
    </row>
    <row r="4" ht="18" customHeight="1">
      <c r="A4" s="3" t="inlineStr">
        <is>
          <t>子目录 / 文件</t>
        </is>
      </c>
      <c r="B4" s="3" t="inlineStr">
        <is>
          <t>文件数</t>
        </is>
      </c>
      <c r="C4" s="3" t="inlineStr">
        <is>
          <t>用途说明</t>
        </is>
      </c>
    </row>
    <row r="5" ht="30" customHeight="1">
      <c r="A5" s="4" t="inlineStr">
        <is>
          <t>homePageDevice\</t>
        </is>
      </c>
      <c r="B5" s="4" t="n">
        <v>20</v>
      </c>
      <c r="C5" s="4" t="inlineStr">
        <is>
          <t>主页设备大图。命名: {机型}_homePage_RGB_{色号}_{序号}.png,用于首页展示当前连接设备外观</t>
        </is>
      </c>
    </row>
    <row r="6" ht="30" customHeight="1">
      <c r="A6" s="5" t="inlineStr">
        <is>
          <t>selectionPage\</t>
        </is>
      </c>
      <c r="B6" s="5" t="n">
        <v>20</v>
      </c>
      <c r="C6" s="5" t="inlineStr">
        <is>
          <t>设备选择页图片。命名: {机型}_RGB_{色号}_{序号}.png,用于设备选择列表</t>
        </is>
      </c>
    </row>
    <row r="7" ht="30" customHeight="1">
      <c r="A7" s="4" t="inlineStr">
        <is>
          <t>leftTopIcon\</t>
        </is>
      </c>
      <c r="B7" s="4" t="n">
        <v>48</v>
      </c>
      <c r="C7" s="4" t="inlineStr">
        <is>
          <t>窗口左上角小图标。命名: {机型}_RGB_{色号}_{序号}_{normal|abnormal}.png,每色两态(正常/异常,即连接/断开);额外包含 K03S_Super 机型</t>
        </is>
      </c>
    </row>
    <row r="8" ht="30" customHeight="1">
      <c r="A8" s="5" t="inlineStr">
        <is>
          <t>moreSetIPageDeviceIcon\</t>
        </is>
      </c>
      <c r="B8" s="5" t="n">
        <v>24</v>
      </c>
      <c r="C8" s="5" t="inlineStr">
        <is>
          <t>更多设置页设备图标。命名: {机型}_moreSetPage_RGB_{色号}_{序号}.png;额外包含 K03wired 机型</t>
        </is>
      </c>
    </row>
    <row r="9" ht="30" customHeight="1">
      <c r="A9" s="4" t="inlineStr">
        <is>
          <t>background.png</t>
        </is>
      </c>
      <c r="B9" s="4" t="n">
        <v>1</v>
      </c>
      <c r="C9" s="4" t="inlineStr">
        <is>
          <t>设备选择区背景图</t>
        </is>
      </c>
    </row>
    <row r="10" ht="30" customHeight="1">
      <c r="A10" s="5" t="inlineStr">
        <is>
          <t>checked.png</t>
        </is>
      </c>
      <c r="B10" s="5" t="n">
        <v>1</v>
      </c>
      <c r="C10" s="5" t="inlineStr">
        <is>
          <t>选中状态勾选标记</t>
        </is>
      </c>
    </row>
    <row r="12">
      <c r="A12" s="6" t="inlineStr">
        <is>
          <t>命名规则说明:</t>
        </is>
      </c>
    </row>
    <row r="13">
      <c r="A13" s="7" t="inlineStr">
        <is>
          <t xml:space="preserve">  · 机型: K03S / K03S_Super / K03wired(有线) / K06S / T7 / T10wired(有线) / T10wireless(无线)</t>
        </is>
      </c>
    </row>
    <row r="14">
      <c r="A14" s="7" t="inlineStr">
        <is>
          <t xml:space="preserve">  · RGB_{色号}: 官方配色的十六进制色值,如 000000=黑、F9CAD6=极光粉</t>
        </is>
      </c>
    </row>
    <row r="15">
      <c r="A15" s="7" t="inlineStr">
        <is>
          <t xml:space="preserve">  · {序号}: 该机型内配色的固定索引,0 为默认色(黑),代码按序号引用配色</t>
        </is>
      </c>
    </row>
    <row r="16">
      <c r="A16" s="7" t="inlineStr">
        <is>
          <t xml:space="preserve">  · leftTopIcon 的 normal/abnormal 对应设备已连接/未连接两种状态</t>
        </is>
      </c>
    </row>
    <row r="17">
      <c r="A17" s="7" t="inlineStr">
        <is>
          <t xml:space="preserve">  · K03wired 目前仅有 moreSetPage 资源;K03S_Super 目前仅有 leftTopIcon 资源</t>
        </is>
      </c>
    </row>
  </sheetData>
  <mergeCells count="6">
    <mergeCell ref="A13:C13"/>
    <mergeCell ref="A14:C14"/>
    <mergeCell ref="A17:C17"/>
    <mergeCell ref="A12:C12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0" customWidth="1" min="5" max="5"/>
    <col width="16" customWidth="1" min="6" max="6"/>
    <col width="14" customWidth="1" min="7" max="7"/>
    <col width="12" customWidth="1" min="8" max="8"/>
    <col width="14" customWidth="1" min="9" max="9"/>
  </cols>
  <sheetData>
    <row r="1" ht="20" customHeight="1">
      <c r="A1" s="8" t="inlineStr">
        <is>
          <t>机型</t>
        </is>
      </c>
      <c r="B1" s="8" t="inlineStr">
        <is>
          <t>颜色名称</t>
        </is>
      </c>
      <c r="C1" s="8" t="inlineStr">
        <is>
          <t>色号(HEX)</t>
        </is>
      </c>
      <c r="D1" s="8" t="inlineStr">
        <is>
          <t>序号</t>
        </is>
      </c>
      <c r="E1" s="8" t="inlineStr">
        <is>
          <t>色块</t>
        </is>
      </c>
      <c r="F1" s="8" t="inlineStr">
        <is>
          <t>homePageDevice</t>
        </is>
      </c>
      <c r="G1" s="8" t="inlineStr">
        <is>
          <t>selectionPage</t>
        </is>
      </c>
      <c r="H1" s="8" t="inlineStr">
        <is>
          <t>leftTopIcon</t>
        </is>
      </c>
      <c r="I1" s="8" t="inlineStr">
        <is>
          <t>moreSetIPage</t>
        </is>
      </c>
    </row>
    <row r="2">
      <c r="A2" s="9" t="inlineStr">
        <is>
          <t>K03S</t>
        </is>
      </c>
      <c r="B2" s="9" t="inlineStr">
        <is>
          <t>武士黑</t>
        </is>
      </c>
      <c r="C2" s="9" t="inlineStr">
        <is>
          <t>000000</t>
        </is>
      </c>
      <c r="D2" s="9" t="n">
        <v>0</v>
      </c>
      <c r="E2" s="10" t="n"/>
      <c r="F2" s="11" t="inlineStr">
        <is>
          <t>✓</t>
        </is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</row>
    <row r="3">
      <c r="A3" s="9" t="inlineStr">
        <is>
          <t>K03S</t>
        </is>
      </c>
      <c r="B3" s="9" t="inlineStr">
        <is>
          <t>熊猫白</t>
        </is>
      </c>
      <c r="C3" s="9" t="inlineStr">
        <is>
          <t>FFFFFF</t>
        </is>
      </c>
      <c r="D3" s="9" t="n">
        <v>1</v>
      </c>
      <c r="E3" s="12" t="n"/>
      <c r="F3" s="11" t="inlineStr">
        <is>
          <t>✓</t>
        </is>
      </c>
      <c r="G3" s="11" t="inlineStr">
        <is>
          <t>✓</t>
        </is>
      </c>
      <c r="H3" s="11" t="inlineStr">
        <is>
          <t>✓</t>
        </is>
      </c>
      <c r="I3" s="11" t="inlineStr">
        <is>
          <t>✓</t>
        </is>
      </c>
    </row>
    <row r="4">
      <c r="A4" s="9" t="inlineStr">
        <is>
          <t>K03S</t>
        </is>
      </c>
      <c r="B4" s="9" t="inlineStr">
        <is>
          <t>极光粉</t>
        </is>
      </c>
      <c r="C4" s="9" t="inlineStr">
        <is>
          <t>F9CAD6</t>
        </is>
      </c>
      <c r="D4" s="9" t="n">
        <v>2</v>
      </c>
      <c r="E4" s="13" t="n"/>
      <c r="F4" s="11" t="inlineStr">
        <is>
          <t>✓</t>
        </is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</row>
    <row r="5">
      <c r="A5" s="9" t="inlineStr">
        <is>
          <t>K03S</t>
        </is>
      </c>
      <c r="B5" s="9" t="inlineStr">
        <is>
          <t>宝石蓝</t>
        </is>
      </c>
      <c r="C5" s="9" t="inlineStr">
        <is>
          <t>6BA6C6</t>
        </is>
      </c>
      <c r="D5" s="9" t="n">
        <v>3</v>
      </c>
      <c r="E5" s="14" t="n"/>
      <c r="F5" s="11" t="inlineStr">
        <is>
          <t>✓</t>
        </is>
      </c>
      <c r="G5" s="11" t="inlineStr">
        <is>
          <t>✓</t>
        </is>
      </c>
      <c r="H5" s="11" t="inlineStr">
        <is>
          <t>✓</t>
        </is>
      </c>
      <c r="I5" s="11" t="inlineStr">
        <is>
          <t>✓</t>
        </is>
      </c>
    </row>
    <row r="6">
      <c r="A6" s="9" t="inlineStr">
        <is>
          <t>K03S_Super</t>
        </is>
      </c>
      <c r="B6" s="9" t="inlineStr">
        <is>
          <t>武士黑</t>
        </is>
      </c>
      <c r="C6" s="9" t="inlineStr">
        <is>
          <t>000000</t>
        </is>
      </c>
      <c r="D6" s="9" t="n">
        <v>0</v>
      </c>
      <c r="E6" s="10" t="n"/>
      <c r="F6" s="15" t="inlineStr">
        <is>
          <t>—</t>
        </is>
      </c>
      <c r="G6" s="15" t="inlineStr">
        <is>
          <t>—</t>
        </is>
      </c>
      <c r="H6" s="11" t="inlineStr">
        <is>
          <t>✓</t>
        </is>
      </c>
      <c r="I6" s="15" t="inlineStr">
        <is>
          <t>—</t>
        </is>
      </c>
    </row>
    <row r="7">
      <c r="A7" s="9" t="inlineStr">
        <is>
          <t>K03S_Super</t>
        </is>
      </c>
      <c r="B7" s="9" t="inlineStr">
        <is>
          <t>熊猫白</t>
        </is>
      </c>
      <c r="C7" s="9" t="inlineStr">
        <is>
          <t>FFFFFF</t>
        </is>
      </c>
      <c r="D7" s="9" t="n">
        <v>1</v>
      </c>
      <c r="E7" s="12" t="n"/>
      <c r="F7" s="15" t="inlineStr">
        <is>
          <t>—</t>
        </is>
      </c>
      <c r="G7" s="15" t="inlineStr">
        <is>
          <t>—</t>
        </is>
      </c>
      <c r="H7" s="11" t="inlineStr">
        <is>
          <t>✓</t>
        </is>
      </c>
      <c r="I7" s="15" t="inlineStr">
        <is>
          <t>—</t>
        </is>
      </c>
    </row>
    <row r="8">
      <c r="A8" s="9" t="inlineStr">
        <is>
          <t>K03S_Super</t>
        </is>
      </c>
      <c r="B8" s="9" t="inlineStr">
        <is>
          <t>极光粉</t>
        </is>
      </c>
      <c r="C8" s="9" t="inlineStr">
        <is>
          <t>F9CAD6</t>
        </is>
      </c>
      <c r="D8" s="9" t="n">
        <v>2</v>
      </c>
      <c r="E8" s="13" t="n"/>
      <c r="F8" s="15" t="inlineStr">
        <is>
          <t>—</t>
        </is>
      </c>
      <c r="G8" s="15" t="inlineStr">
        <is>
          <t>—</t>
        </is>
      </c>
      <c r="H8" s="11" t="inlineStr">
        <is>
          <t>✓</t>
        </is>
      </c>
      <c r="I8" s="15" t="inlineStr">
        <is>
          <t>—</t>
        </is>
      </c>
    </row>
    <row r="9">
      <c r="A9" s="9" t="inlineStr">
        <is>
          <t>K03S_Super</t>
        </is>
      </c>
      <c r="B9" s="9" t="inlineStr">
        <is>
          <t>宝石蓝</t>
        </is>
      </c>
      <c r="C9" s="9" t="inlineStr">
        <is>
          <t>6BA6C6</t>
        </is>
      </c>
      <c r="D9" s="9" t="n">
        <v>3</v>
      </c>
      <c r="E9" s="14" t="n"/>
      <c r="F9" s="15" t="inlineStr">
        <is>
          <t>—</t>
        </is>
      </c>
      <c r="G9" s="15" t="inlineStr">
        <is>
          <t>—</t>
        </is>
      </c>
      <c r="H9" s="11" t="inlineStr">
        <is>
          <t>✓</t>
        </is>
      </c>
      <c r="I9" s="15" t="inlineStr">
        <is>
          <t>—</t>
        </is>
      </c>
    </row>
    <row r="10">
      <c r="A10" s="9" t="inlineStr">
        <is>
          <t>K03wired</t>
        </is>
      </c>
      <c r="B10" s="9" t="inlineStr">
        <is>
          <t>武士黑</t>
        </is>
      </c>
      <c r="C10" s="9" t="inlineStr">
        <is>
          <t>000000</t>
        </is>
      </c>
      <c r="D10" s="9" t="n">
        <v>0</v>
      </c>
      <c r="E10" s="10" t="n"/>
      <c r="F10" s="15" t="inlineStr">
        <is>
          <t>—</t>
        </is>
      </c>
      <c r="G10" s="15" t="inlineStr">
        <is>
          <t>—</t>
        </is>
      </c>
      <c r="H10" s="15" t="inlineStr">
        <is>
          <t>—</t>
        </is>
      </c>
      <c r="I10" s="11" t="inlineStr">
        <is>
          <t>✓</t>
        </is>
      </c>
    </row>
    <row r="11">
      <c r="A11" s="9" t="inlineStr">
        <is>
          <t>K03wired</t>
        </is>
      </c>
      <c r="B11" s="9" t="inlineStr">
        <is>
          <t>熊猫白</t>
        </is>
      </c>
      <c r="C11" s="9" t="inlineStr">
        <is>
          <t>FFFFFF</t>
        </is>
      </c>
      <c r="D11" s="9" t="n">
        <v>1</v>
      </c>
      <c r="E11" s="12" t="n"/>
      <c r="F11" s="15" t="inlineStr">
        <is>
          <t>—</t>
        </is>
      </c>
      <c r="G11" s="15" t="inlineStr">
        <is>
          <t>—</t>
        </is>
      </c>
      <c r="H11" s="15" t="inlineStr">
        <is>
          <t>—</t>
        </is>
      </c>
      <c r="I11" s="11" t="inlineStr">
        <is>
          <t>✓</t>
        </is>
      </c>
    </row>
    <row r="12">
      <c r="A12" s="9" t="inlineStr">
        <is>
          <t>K03wired</t>
        </is>
      </c>
      <c r="B12" s="9" t="inlineStr">
        <is>
          <t>极光粉</t>
        </is>
      </c>
      <c r="C12" s="9" t="inlineStr">
        <is>
          <t>F9CAD6</t>
        </is>
      </c>
      <c r="D12" s="9" t="n">
        <v>2</v>
      </c>
      <c r="E12" s="13" t="n"/>
      <c r="F12" s="15" t="inlineStr">
        <is>
          <t>—</t>
        </is>
      </c>
      <c r="G12" s="15" t="inlineStr">
        <is>
          <t>—</t>
        </is>
      </c>
      <c r="H12" s="15" t="inlineStr">
        <is>
          <t>—</t>
        </is>
      </c>
      <c r="I12" s="11" t="inlineStr">
        <is>
          <t>✓</t>
        </is>
      </c>
    </row>
    <row r="13">
      <c r="A13" s="9" t="inlineStr">
        <is>
          <t>K03wired</t>
        </is>
      </c>
      <c r="B13" s="9" t="inlineStr">
        <is>
          <t>冰川白</t>
        </is>
      </c>
      <c r="C13" s="9" t="inlineStr">
        <is>
          <t>BBBEBF</t>
        </is>
      </c>
      <c r="D13" s="9" t="n">
        <v>3</v>
      </c>
      <c r="E13" s="16" t="n"/>
      <c r="F13" s="15" t="inlineStr">
        <is>
          <t>—</t>
        </is>
      </c>
      <c r="G13" s="15" t="inlineStr">
        <is>
          <t>—</t>
        </is>
      </c>
      <c r="H13" s="15" t="inlineStr">
        <is>
          <t>—</t>
        </is>
      </c>
      <c r="I13" s="11" t="inlineStr">
        <is>
          <t>✓</t>
        </is>
      </c>
    </row>
    <row r="14">
      <c r="A14" s="9" t="inlineStr">
        <is>
          <t>K06S</t>
        </is>
      </c>
      <c r="B14" s="9" t="inlineStr">
        <is>
          <t>黑色</t>
        </is>
      </c>
      <c r="C14" s="9" t="inlineStr">
        <is>
          <t>000000</t>
        </is>
      </c>
      <c r="D14" s="9" t="n">
        <v>0</v>
      </c>
      <c r="E14" s="10" t="n"/>
      <c r="F14" s="11" t="inlineStr">
        <is>
          <t>✓</t>
        </is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</row>
    <row r="15">
      <c r="A15" s="9" t="inlineStr">
        <is>
          <t>K06S</t>
        </is>
      </c>
      <c r="B15" s="9" t="inlineStr">
        <is>
          <t>云贝白</t>
        </is>
      </c>
      <c r="C15" s="9" t="inlineStr">
        <is>
          <t>FFFFFF</t>
        </is>
      </c>
      <c r="D15" s="9" t="n">
        <v>1</v>
      </c>
      <c r="E15" s="12" t="n"/>
      <c r="F15" s="11" t="inlineStr">
        <is>
          <t>✓</t>
        </is>
      </c>
      <c r="G15" s="11" t="inlineStr">
        <is>
          <t>✓</t>
        </is>
      </c>
      <c r="H15" s="11" t="inlineStr">
        <is>
          <t>✓</t>
        </is>
      </c>
      <c r="I15" s="11" t="inlineStr">
        <is>
          <t>✓</t>
        </is>
      </c>
    </row>
    <row r="16">
      <c r="A16" s="9" t="inlineStr">
        <is>
          <t>T7</t>
        </is>
      </c>
      <c r="B16" s="9" t="inlineStr">
        <is>
          <t>玄墨黑</t>
        </is>
      </c>
      <c r="C16" s="9" t="inlineStr">
        <is>
          <t>000000</t>
        </is>
      </c>
      <c r="D16" s="9" t="n">
        <v>0</v>
      </c>
      <c r="E16" s="10" t="n"/>
      <c r="F16" s="11" t="inlineStr">
        <is>
          <t>✓</t>
        </is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</row>
    <row r="17">
      <c r="A17" s="9" t="inlineStr">
        <is>
          <t>T7</t>
        </is>
      </c>
      <c r="B17" s="9" t="inlineStr">
        <is>
          <t>香槟金</t>
        </is>
      </c>
      <c r="C17" s="9" t="inlineStr">
        <is>
          <t>C7C0B8</t>
        </is>
      </c>
      <c r="D17" s="9" t="n">
        <v>1</v>
      </c>
      <c r="E17" s="17" t="n"/>
      <c r="F17" s="11" t="inlineStr">
        <is>
          <t>✓</t>
        </is>
      </c>
      <c r="G17" s="11" t="inlineStr">
        <is>
          <t>✓</t>
        </is>
      </c>
      <c r="H17" s="11" t="inlineStr">
        <is>
          <t>✓</t>
        </is>
      </c>
      <c r="I17" s="11" t="inlineStr">
        <is>
          <t>✓</t>
        </is>
      </c>
    </row>
    <row r="18">
      <c r="A18" s="9" t="inlineStr">
        <is>
          <t>T7</t>
        </is>
      </c>
      <c r="B18" s="9" t="inlineStr">
        <is>
          <t>雪山粉</t>
        </is>
      </c>
      <c r="C18" s="9" t="inlineStr">
        <is>
          <t>D7C3CF</t>
        </is>
      </c>
      <c r="D18" s="9" t="n">
        <v>2</v>
      </c>
      <c r="E18" s="18" t="n"/>
      <c r="F18" s="11" t="inlineStr">
        <is>
          <t>✓</t>
        </is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</row>
    <row r="19">
      <c r="A19" s="9" t="inlineStr">
        <is>
          <t>T7</t>
        </is>
      </c>
      <c r="B19" s="9" t="inlineStr">
        <is>
          <t>闪电黄</t>
        </is>
      </c>
      <c r="C19" s="9" t="inlineStr">
        <is>
          <t>FFC652</t>
        </is>
      </c>
      <c r="D19" s="9" t="n">
        <v>3</v>
      </c>
      <c r="E19" s="19" t="n"/>
      <c r="F19" s="11" t="inlineStr">
        <is>
          <t>✓</t>
        </is>
      </c>
      <c r="G19" s="11" t="inlineStr">
        <is>
          <t>✓</t>
        </is>
      </c>
      <c r="H19" s="11" t="inlineStr">
        <is>
          <t>✓</t>
        </is>
      </c>
      <c r="I19" s="11" t="inlineStr">
        <is>
          <t>✓</t>
        </is>
      </c>
    </row>
    <row r="20">
      <c r="A20" s="9" t="inlineStr">
        <is>
          <t>T7</t>
        </is>
      </c>
      <c r="B20" s="9" t="inlineStr">
        <is>
          <t>云杉绿</t>
        </is>
      </c>
      <c r="C20" s="9" t="inlineStr">
        <is>
          <t>50756A</t>
        </is>
      </c>
      <c r="D20" s="9" t="n">
        <v>4</v>
      </c>
      <c r="E20" s="20" t="n"/>
      <c r="F20" s="11" t="inlineStr">
        <is>
          <t>✓</t>
        </is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</row>
    <row r="21">
      <c r="A21" s="9" t="inlineStr">
        <is>
          <t>T7</t>
        </is>
      </c>
      <c r="B21" s="9" t="inlineStr">
        <is>
          <t>卡布里蓝</t>
        </is>
      </c>
      <c r="C21" s="9" t="inlineStr">
        <is>
          <t>4BC3D7</t>
        </is>
      </c>
      <c r="D21" s="9" t="n">
        <v>5</v>
      </c>
      <c r="E21" s="21" t="n"/>
      <c r="F21" s="11" t="inlineStr">
        <is>
          <t>✓</t>
        </is>
      </c>
      <c r="G21" s="11" t="inlineStr">
        <is>
          <t>✓</t>
        </is>
      </c>
      <c r="H21" s="11" t="inlineStr">
        <is>
          <t>✓</t>
        </is>
      </c>
      <c r="I21" s="11" t="inlineStr">
        <is>
          <t>✓</t>
        </is>
      </c>
    </row>
    <row r="22">
      <c r="A22" s="9" t="inlineStr">
        <is>
          <t>T7</t>
        </is>
      </c>
      <c r="B22" s="9" t="inlineStr">
        <is>
          <t>赤芒红</t>
        </is>
      </c>
      <c r="C22" s="9" t="inlineStr">
        <is>
          <t>BD353F</t>
        </is>
      </c>
      <c r="D22" s="9" t="n">
        <v>6</v>
      </c>
      <c r="E22" s="22" t="n"/>
      <c r="F22" s="11" t="inlineStr">
        <is>
          <t>✓</t>
        </is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</row>
    <row r="23">
      <c r="A23" s="9" t="inlineStr">
        <is>
          <t>T10wired</t>
        </is>
      </c>
      <c r="B23" s="9" t="inlineStr">
        <is>
          <t>玄墨黑</t>
        </is>
      </c>
      <c r="C23" s="9" t="inlineStr">
        <is>
          <t>000000</t>
        </is>
      </c>
      <c r="D23" s="9" t="n">
        <v>0</v>
      </c>
      <c r="E23" s="10" t="n"/>
      <c r="F23" s="11" t="inlineStr">
        <is>
          <t>✓</t>
        </is>
      </c>
      <c r="G23" s="11" t="inlineStr">
        <is>
          <t>✓</t>
        </is>
      </c>
      <c r="H23" s="11" t="inlineStr">
        <is>
          <t>✓</t>
        </is>
      </c>
      <c r="I23" s="11" t="inlineStr">
        <is>
          <t>✓</t>
        </is>
      </c>
    </row>
    <row r="24">
      <c r="A24" s="9" t="inlineStr">
        <is>
          <t>T10wired</t>
        </is>
      </c>
      <c r="B24" s="9" t="inlineStr">
        <is>
          <t>蚀金黑</t>
        </is>
      </c>
      <c r="C24" s="9" t="inlineStr">
        <is>
          <t>FFE251</t>
        </is>
      </c>
      <c r="D24" s="9" t="n">
        <v>1</v>
      </c>
      <c r="E24" s="23" t="n"/>
      <c r="F24" s="11" t="inlineStr">
        <is>
          <t>✓</t>
        </is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</row>
    <row r="25">
      <c r="A25" s="9" t="inlineStr">
        <is>
          <t>T10wired</t>
        </is>
      </c>
      <c r="B25" s="9" t="inlineStr">
        <is>
          <t>凌空灰</t>
        </is>
      </c>
      <c r="C25" s="9" t="inlineStr">
        <is>
          <t>919393</t>
        </is>
      </c>
      <c r="D25" s="9" t="n">
        <v>2</v>
      </c>
      <c r="E25" s="24" t="n"/>
      <c r="F25" s="11" t="inlineStr">
        <is>
          <t>✓</t>
        </is>
      </c>
      <c r="G25" s="11" t="inlineStr">
        <is>
          <t>✓</t>
        </is>
      </c>
      <c r="H25" s="11" t="inlineStr">
        <is>
          <t>✓</t>
        </is>
      </c>
      <c r="I25" s="11" t="inlineStr">
        <is>
          <t>✓</t>
        </is>
      </c>
    </row>
    <row r="26">
      <c r="A26" s="9" t="inlineStr">
        <is>
          <t>T10wired</t>
        </is>
      </c>
      <c r="B26" s="9" t="inlineStr">
        <is>
          <t>皓月银</t>
        </is>
      </c>
      <c r="C26" s="9" t="inlineStr">
        <is>
          <t>B7B7B7</t>
        </is>
      </c>
      <c r="D26" s="9" t="n">
        <v>3</v>
      </c>
      <c r="E26" s="25" t="n"/>
      <c r="F26" s="11" t="inlineStr">
        <is>
          <t>✓</t>
        </is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</row>
    <row r="27">
      <c r="A27" s="9" t="inlineStr">
        <is>
          <t>T10wireless</t>
        </is>
      </c>
      <c r="B27" s="9" t="inlineStr">
        <is>
          <t>玄墨黑</t>
        </is>
      </c>
      <c r="C27" s="9" t="inlineStr">
        <is>
          <t>000000</t>
        </is>
      </c>
      <c r="D27" s="9" t="n">
        <v>0</v>
      </c>
      <c r="E27" s="10" t="n"/>
      <c r="F27" s="11" t="inlineStr">
        <is>
          <t>✓</t>
        </is>
      </c>
      <c r="G27" s="11" t="inlineStr">
        <is>
          <t>✓</t>
        </is>
      </c>
      <c r="H27" s="11" t="inlineStr">
        <is>
          <t>✓</t>
        </is>
      </c>
      <c r="I27" s="11" t="inlineStr">
        <is>
          <t>✓</t>
        </is>
      </c>
    </row>
    <row r="28">
      <c r="A28" s="9" t="inlineStr">
        <is>
          <t>T10wireless</t>
        </is>
      </c>
      <c r="B28" s="9" t="inlineStr">
        <is>
          <t>香槟金</t>
        </is>
      </c>
      <c r="C28" s="9" t="inlineStr">
        <is>
          <t>FCDEB2</t>
        </is>
      </c>
      <c r="D28" s="9" t="n">
        <v>1</v>
      </c>
      <c r="E28" s="26" t="n"/>
      <c r="F28" s="11" t="inlineStr">
        <is>
          <t>✓</t>
        </is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</row>
    <row r="29">
      <c r="A29" s="9" t="inlineStr">
        <is>
          <t>T10wireless</t>
        </is>
      </c>
      <c r="B29" s="9" t="inlineStr">
        <is>
          <t>皓月银</t>
        </is>
      </c>
      <c r="C29" s="9" t="inlineStr">
        <is>
          <t>B7B7B7</t>
        </is>
      </c>
      <c r="D29" s="9" t="n">
        <v>2</v>
      </c>
      <c r="E29" s="25" t="n"/>
      <c r="F29" s="11" t="inlineStr">
        <is>
          <t>✓</t>
        </is>
      </c>
      <c r="G29" s="11" t="inlineStr">
        <is>
          <t>✓</t>
        </is>
      </c>
      <c r="H29" s="11" t="inlineStr">
        <is>
          <t>✓</t>
        </is>
      </c>
      <c r="I29" s="11" t="inlineStr">
        <is>
          <t>✓</t>
        </is>
      </c>
    </row>
  </sheetData>
  <autoFilter ref="A1:I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18" customWidth="1" min="5" max="5"/>
    <col width="14" customWidth="1" min="6" max="6"/>
    <col width="12" customWidth="1" min="7" max="7"/>
  </cols>
  <sheetData>
    <row r="1" ht="20" customHeight="1">
      <c r="A1" s="8" t="inlineStr">
        <is>
          <t>机型</t>
        </is>
      </c>
      <c r="B1" s="8" t="inlineStr">
        <is>
          <t>配色数量</t>
        </is>
      </c>
      <c r="C1" s="8" t="inlineStr">
        <is>
          <t>homePageDevice</t>
        </is>
      </c>
      <c r="D1" s="8" t="inlineStr">
        <is>
          <t>selectionPage</t>
        </is>
      </c>
      <c r="E1" s="8" t="inlineStr">
        <is>
          <t>leftTopIcon(含两态)</t>
        </is>
      </c>
      <c r="F1" s="8" t="inlineStr">
        <is>
          <t>moreSetIPage</t>
        </is>
      </c>
      <c r="G1" s="8" t="inlineStr">
        <is>
          <t>PNG文件合计</t>
        </is>
      </c>
    </row>
    <row r="2">
      <c r="A2" s="9" t="inlineStr">
        <is>
          <t>K03S</t>
        </is>
      </c>
      <c r="B2" s="9">
        <f>COUNTIF('机型颜色对照'!A2:A29,A2)</f>
        <v/>
      </c>
      <c r="C2" s="9">
        <f>COUNTIFS('机型颜色对照'!A2:A29,A2,'机型颜色对照'!F2:F29,"✓")</f>
        <v/>
      </c>
      <c r="D2" s="9">
        <f>COUNTIFS('机型颜色对照'!A2:A29,A2,'机型颜色对照'!G2:G29,"✓")</f>
        <v/>
      </c>
      <c r="E2" s="9">
        <f>COUNTIFS('机型颜色对照'!A2:A29,A2,'机型颜色对照'!H2:H29,"✓")*2</f>
        <v/>
      </c>
      <c r="F2" s="9">
        <f>COUNTIFS('机型颜色对照'!A2:A29,A2,'机型颜色对照'!I2:I29,"✓")</f>
        <v/>
      </c>
      <c r="G2" s="9">
        <f>SUM(C2:F2)</f>
        <v/>
      </c>
    </row>
    <row r="3">
      <c r="A3" s="9" t="inlineStr">
        <is>
          <t>K03S_Super</t>
        </is>
      </c>
      <c r="B3" s="9">
        <f>COUNTIF('机型颜色对照'!A2:A29,A3)</f>
        <v/>
      </c>
      <c r="C3" s="9">
        <f>COUNTIFS('机型颜色对照'!A2:A29,A3,'机型颜色对照'!F2:F29,"✓")</f>
        <v/>
      </c>
      <c r="D3" s="9">
        <f>COUNTIFS('机型颜色对照'!A2:A29,A3,'机型颜色对照'!G2:G29,"✓")</f>
        <v/>
      </c>
      <c r="E3" s="9">
        <f>COUNTIFS('机型颜色对照'!A2:A29,A3,'机型颜色对照'!H2:H29,"✓")*2</f>
        <v/>
      </c>
      <c r="F3" s="9">
        <f>COUNTIFS('机型颜色对照'!A2:A29,A3,'机型颜色对照'!I2:I29,"✓")</f>
        <v/>
      </c>
      <c r="G3" s="9">
        <f>SUM(C3:F3)</f>
        <v/>
      </c>
    </row>
    <row r="4">
      <c r="A4" s="9" t="inlineStr">
        <is>
          <t>K03wired</t>
        </is>
      </c>
      <c r="B4" s="9">
        <f>COUNTIF('机型颜色对照'!A2:A29,A4)</f>
        <v/>
      </c>
      <c r="C4" s="9">
        <f>COUNTIFS('机型颜色对照'!A2:A29,A4,'机型颜色对照'!F2:F29,"✓")</f>
        <v/>
      </c>
      <c r="D4" s="9">
        <f>COUNTIFS('机型颜色对照'!A2:A29,A4,'机型颜色对照'!G2:G29,"✓")</f>
        <v/>
      </c>
      <c r="E4" s="9">
        <f>COUNTIFS('机型颜色对照'!A2:A29,A4,'机型颜色对照'!H2:H29,"✓")*2</f>
        <v/>
      </c>
      <c r="F4" s="9">
        <f>COUNTIFS('机型颜色对照'!A2:A29,A4,'机型颜色对照'!I2:I29,"✓")</f>
        <v/>
      </c>
      <c r="G4" s="9">
        <f>SUM(C4:F4)</f>
        <v/>
      </c>
    </row>
    <row r="5">
      <c r="A5" s="9" t="inlineStr">
        <is>
          <t>K06S</t>
        </is>
      </c>
      <c r="B5" s="9">
        <f>COUNTIF('机型颜色对照'!A2:A29,A5)</f>
        <v/>
      </c>
      <c r="C5" s="9">
        <f>COUNTIFS('机型颜色对照'!A2:A29,A5,'机型颜色对照'!F2:F29,"✓")</f>
        <v/>
      </c>
      <c r="D5" s="9">
        <f>COUNTIFS('机型颜色对照'!A2:A29,A5,'机型颜色对照'!G2:G29,"✓")</f>
        <v/>
      </c>
      <c r="E5" s="9">
        <f>COUNTIFS('机型颜色对照'!A2:A29,A5,'机型颜色对照'!H2:H29,"✓")*2</f>
        <v/>
      </c>
      <c r="F5" s="9">
        <f>COUNTIFS('机型颜色对照'!A2:A29,A5,'机型颜色对照'!I2:I29,"✓")</f>
        <v/>
      </c>
      <c r="G5" s="9">
        <f>SUM(C5:F5)</f>
        <v/>
      </c>
    </row>
    <row r="6">
      <c r="A6" s="9" t="inlineStr">
        <is>
          <t>T7</t>
        </is>
      </c>
      <c r="B6" s="9">
        <f>COUNTIF('机型颜色对照'!A2:A29,A6)</f>
        <v/>
      </c>
      <c r="C6" s="9">
        <f>COUNTIFS('机型颜色对照'!A2:A29,A6,'机型颜色对照'!F2:F29,"✓")</f>
        <v/>
      </c>
      <c r="D6" s="9">
        <f>COUNTIFS('机型颜色对照'!A2:A29,A6,'机型颜色对照'!G2:G29,"✓")</f>
        <v/>
      </c>
      <c r="E6" s="9">
        <f>COUNTIFS('机型颜色对照'!A2:A29,A6,'机型颜色对照'!H2:H29,"✓")*2</f>
        <v/>
      </c>
      <c r="F6" s="9">
        <f>COUNTIFS('机型颜色对照'!A2:A29,A6,'机型颜色对照'!I2:I29,"✓")</f>
        <v/>
      </c>
      <c r="G6" s="9">
        <f>SUM(C6:F6)</f>
        <v/>
      </c>
    </row>
    <row r="7">
      <c r="A7" s="9" t="inlineStr">
        <is>
          <t>T10wired</t>
        </is>
      </c>
      <c r="B7" s="9">
        <f>COUNTIF('机型颜色对照'!A2:A29,A7)</f>
        <v/>
      </c>
      <c r="C7" s="9">
        <f>COUNTIFS('机型颜色对照'!A2:A29,A7,'机型颜色对照'!F2:F29,"✓")</f>
        <v/>
      </c>
      <c r="D7" s="9">
        <f>COUNTIFS('机型颜色对照'!A2:A29,A7,'机型颜色对照'!G2:G29,"✓")</f>
        <v/>
      </c>
      <c r="E7" s="9">
        <f>COUNTIFS('机型颜色对照'!A2:A29,A7,'机型颜色对照'!H2:H29,"✓")*2</f>
        <v/>
      </c>
      <c r="F7" s="9">
        <f>COUNTIFS('机型颜色对照'!A2:A29,A7,'机型颜色对照'!I2:I29,"✓")</f>
        <v/>
      </c>
      <c r="G7" s="9">
        <f>SUM(C7:F7)</f>
        <v/>
      </c>
    </row>
    <row r="8">
      <c r="A8" s="9" t="inlineStr">
        <is>
          <t>T10wireless</t>
        </is>
      </c>
      <c r="B8" s="9">
        <f>COUNTIF('机型颜色对照'!A2:A29,A8)</f>
        <v/>
      </c>
      <c r="C8" s="9">
        <f>COUNTIFS('机型颜色对照'!A2:A29,A8,'机型颜色对照'!F2:F29,"✓")</f>
        <v/>
      </c>
      <c r="D8" s="9">
        <f>COUNTIFS('机型颜色对照'!A2:A29,A8,'机型颜色对照'!G2:G29,"✓")</f>
        <v/>
      </c>
      <c r="E8" s="9">
        <f>COUNTIFS('机型颜色对照'!A2:A29,A8,'机型颜色对照'!H2:H29,"✓")*2</f>
        <v/>
      </c>
      <c r="F8" s="9">
        <f>COUNTIFS('机型颜色对照'!A2:A29,A8,'机型颜色对照'!I2:I29,"✓")</f>
        <v/>
      </c>
      <c r="G8" s="9">
        <f>SUM(C8:F8)</f>
        <v/>
      </c>
    </row>
    <row r="9">
      <c r="A9" s="27" t="inlineStr">
        <is>
          <t>合计</t>
        </is>
      </c>
      <c r="B9" s="27">
        <f>SUM(B2:B8)</f>
        <v/>
      </c>
      <c r="C9" s="27">
        <f>SUM(C2:C8)</f>
        <v/>
      </c>
      <c r="D9" s="27">
        <f>SUM(D2:D8)</f>
        <v/>
      </c>
      <c r="E9" s="27">
        <f>SUM(E2:E8)</f>
        <v/>
      </c>
      <c r="F9" s="27">
        <f>SUM(F2:F8)</f>
        <v/>
      </c>
      <c r="G9" s="27">
        <f>SUM(G2:G8)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2026-07-16T11:46:20Z</dcterms:created>
  <dcterms:modified xsi:type="dcterms:W3CDTF">2026-07-16T11:46:20Z</dcterms:modified>
</cp:coreProperties>
</file>